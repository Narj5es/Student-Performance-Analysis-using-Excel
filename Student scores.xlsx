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01b745aaf0e480/Desktop/"/>
    </mc:Choice>
  </mc:AlternateContent>
  <xr:revisionPtr revIDLastSave="0" documentId="8_{18465856-7C87-401F-BDFA-85FCE567EB41}" xr6:coauthVersionLast="47" xr6:coauthVersionMax="47" xr10:uidLastSave="{00000000-0000-0000-0000-000000000000}"/>
  <bookViews>
    <workbookView xWindow="-98" yWindow="-98" windowWidth="21795" windowHeight="12975" activeTab="1" xr2:uid="{CCB61FE8-4504-41E3-9B2C-5EFCCD00AD09}"/>
  </bookViews>
  <sheets>
    <sheet name="Sheet2" sheetId="2" r:id="rId1"/>
    <sheet name="Sheet1" sheetId="1" r:id="rId2"/>
  </sheets>
  <calcPr calcId="191029"/>
  <pivotCaches>
    <pivotCache cacheId="0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J10" i="1" s="1"/>
  <c r="H9" i="1"/>
  <c r="J9" i="1" s="1"/>
  <c r="H15" i="1"/>
  <c r="J15" i="1" s="1"/>
  <c r="H12" i="1"/>
  <c r="J12" i="1" s="1"/>
  <c r="H16" i="1"/>
  <c r="J16" i="1" s="1"/>
  <c r="H14" i="1"/>
  <c r="J14" i="1" s="1"/>
  <c r="H8" i="1"/>
  <c r="I8" i="1" s="1"/>
  <c r="H4" i="1"/>
  <c r="J4" i="1" s="1"/>
  <c r="H5" i="1"/>
  <c r="J5" i="1" s="1"/>
  <c r="H11" i="1"/>
  <c r="J11" i="1" s="1"/>
  <c r="H6" i="1"/>
  <c r="I6" i="1" s="1"/>
  <c r="H13" i="1"/>
  <c r="J13" i="1" s="1"/>
  <c r="H17" i="1"/>
  <c r="J17" i="1" s="1"/>
  <c r="H7" i="1"/>
  <c r="I7" i="1" s="1"/>
  <c r="H3" i="1"/>
  <c r="J3" i="1" s="1"/>
  <c r="I16" i="1" l="1"/>
  <c r="I14" i="1"/>
  <c r="I12" i="1"/>
  <c r="I15" i="1"/>
  <c r="I10" i="1"/>
  <c r="I9" i="1"/>
  <c r="I3" i="1"/>
  <c r="I17" i="1"/>
  <c r="I11" i="1"/>
  <c r="I5" i="1"/>
  <c r="J8" i="1"/>
  <c r="I4" i="1"/>
  <c r="J7" i="1"/>
  <c r="J6" i="1"/>
  <c r="I13" i="1"/>
</calcChain>
</file>

<file path=xl/sharedStrings.xml><?xml version="1.0" encoding="utf-8"?>
<sst xmlns="http://schemas.openxmlformats.org/spreadsheetml/2006/main" count="32" uniqueCount="31">
  <si>
    <t xml:space="preserve">اسم الطالب </t>
  </si>
  <si>
    <t xml:space="preserve">اللغة العربية </t>
  </si>
  <si>
    <t xml:space="preserve">اللغة الإنجليزية </t>
  </si>
  <si>
    <t>العلوم</t>
  </si>
  <si>
    <t>الرياضيات</t>
  </si>
  <si>
    <t xml:space="preserve">خالد </t>
  </si>
  <si>
    <t>منى</t>
  </si>
  <si>
    <t>فاطمة</t>
  </si>
  <si>
    <t>محمود</t>
  </si>
  <si>
    <t>فاطمة 2</t>
  </si>
  <si>
    <t>عبدالله</t>
  </si>
  <si>
    <t>خالد 2</t>
  </si>
  <si>
    <t>أحمد</t>
  </si>
  <si>
    <t>منى2</t>
  </si>
  <si>
    <t>محمود2</t>
  </si>
  <si>
    <t xml:space="preserve">علي </t>
  </si>
  <si>
    <t>محمد</t>
  </si>
  <si>
    <t>خالد</t>
  </si>
  <si>
    <t>احمد2</t>
  </si>
  <si>
    <t>منى3</t>
  </si>
  <si>
    <t>الدراسات الاجتماعية</t>
  </si>
  <si>
    <t xml:space="preserve">المواد الأساسية </t>
  </si>
  <si>
    <t xml:space="preserve">المواد الفرعية </t>
  </si>
  <si>
    <t>م</t>
  </si>
  <si>
    <t xml:space="preserve">المجموع </t>
  </si>
  <si>
    <t>النسبة المئؤية</t>
  </si>
  <si>
    <t xml:space="preserve">التقدير </t>
  </si>
  <si>
    <t>مجموع التقدير</t>
  </si>
  <si>
    <t>ناجح</t>
  </si>
  <si>
    <t xml:space="preserve">Count of التقدير </t>
  </si>
  <si>
    <t>راسب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</si>
</sst>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8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4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2" fillId="2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0" borderId="2" xfId="0" applyBorder="1" applyAlignment="1">
      <alignment horizontal="center" vertical="center"/>
    </xf>
    <xf numFmtId="0" fontId="2" fillId="2" borderId="3" xfId="2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0" xfId="0" pivotButton="1"/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3">
    <cellStyle name="Good" xfId="2" builtinId="26"/>
    <cellStyle name="Normal" xfId="0" builtinId="0"/>
    <cellStyle name="Per cent" xfId="1" builtinId="5"/>
  </cellStyles>
  <dxfs count="11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scores.xlsx]Sheet2!PivotTable5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</a:t>
            </a:r>
            <a:r>
              <a:rPr lang="ar-SA"/>
              <a:t>التقدير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Sheet2!$A$4:$A$5</c:f>
              <c:strCache>
                <c:ptCount val="2"/>
                <c:pt idx="0">
                  <c:v>راسب</c:v>
                </c:pt>
                <c:pt idx="1">
                  <c:v>ناجح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2"/>
                <c:pt idx="0">
                  <c:v>1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1-4D6A-AE65-886DBC280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580768"/>
        <c:axId val="2087134208"/>
      </c:barChart>
      <c:catAx>
        <c:axId val="121658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87134208"/>
        <c:crosses val="autoZero"/>
        <c:auto val="1"/>
        <c:lblAlgn val="ctr"/>
        <c:lblOffset val="100"/>
        <c:noMultiLvlLbl val="0"/>
      </c:catAx>
      <c:valAx>
        <c:axId val="208713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21658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scores.xlsx]Sheet2!PivotTable5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مجموع</a:t>
            </a:r>
            <a:r>
              <a:rPr lang="ar-SA" baseline="0"/>
              <a:t> التقدير</a:t>
            </a: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Sheet2!$A$4:$A$5</c:f>
              <c:strCache>
                <c:ptCount val="2"/>
                <c:pt idx="0">
                  <c:v>راسب</c:v>
                </c:pt>
                <c:pt idx="1">
                  <c:v>ناجح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2"/>
                <c:pt idx="0">
                  <c:v>1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5-44F4-8EED-55952AF4D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580768"/>
        <c:axId val="2087134208"/>
      </c:barChart>
      <c:catAx>
        <c:axId val="121658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87134208"/>
        <c:crosses val="autoZero"/>
        <c:auto val="1"/>
        <c:lblAlgn val="ctr"/>
        <c:lblOffset val="100"/>
        <c:noMultiLvlLbl val="0"/>
      </c:catAx>
      <c:valAx>
        <c:axId val="208713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21658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61912</xdr:colOff>
      <xdr:row>7</xdr:row>
      <xdr:rowOff>119062</xdr:rowOff>
    </xdr:from>
    <xdr:to>
      <xdr:col>12</xdr:col>
      <xdr:colOff>519112</xdr:colOff>
      <xdr:row>23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00A60A-B7EC-7043-CCD6-2059483DF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</xdr:row>
      <xdr:rowOff>238125</xdr:rowOff>
    </xdr:from>
    <xdr:to>
      <xdr:col>16</xdr:col>
      <xdr:colOff>176212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98974-F03D-46C8-BBA0-EF84CDF33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jes Alnasser" refreshedDate="46113.117049652777" createdVersion="8" refreshedVersion="8" minRefreshableVersion="3" recordCount="15" xr:uid="{BAAADE44-D7A3-4DC5-A217-F84EF2C476BF}">
  <cacheSource type="worksheet">
    <worksheetSource name="Table1"/>
  </cacheSource>
  <cacheFields count="9">
    <cacheField name="اسم الطالب " numFmtId="0">
      <sharedItems/>
    </cacheField>
    <cacheField name="اللغة العربية " numFmtId="0">
      <sharedItems containsSemiMixedTypes="0" containsString="0" containsNumber="1" containsInteger="1" minValue="33" maxValue="100"/>
    </cacheField>
    <cacheField name="الرياضيات" numFmtId="0">
      <sharedItems containsSemiMixedTypes="0" containsString="0" containsNumber="1" containsInteger="1" minValue="34" maxValue="99"/>
    </cacheField>
    <cacheField name="اللغة الإنجليزية " numFmtId="0">
      <sharedItems containsSemiMixedTypes="0" containsString="0" containsNumber="1" containsInteger="1" minValue="43" maxValue="99"/>
    </cacheField>
    <cacheField name="العلوم" numFmtId="0">
      <sharedItems containsSemiMixedTypes="0" containsString="0" containsNumber="1" containsInteger="1" minValue="33" maxValue="99"/>
    </cacheField>
    <cacheField name="الدراسات الاجتماعية" numFmtId="0">
      <sharedItems containsSemiMixedTypes="0" containsString="0" containsNumber="1" containsInteger="1" minValue="56" maxValue="95"/>
    </cacheField>
    <cacheField name="المجموع " numFmtId="0">
      <sharedItems containsSemiMixedTypes="0" containsString="0" containsNumber="1" containsInteger="1" minValue="296" maxValue="427"/>
    </cacheField>
    <cacheField name="النسبة المئؤية" numFmtId="9">
      <sharedItems containsSemiMixedTypes="0" containsString="0" containsNumber="1" minValue="0.59199999999999997" maxValue="0.85399999999999998"/>
    </cacheField>
    <cacheField name="التقدير " numFmtId="0">
      <sharedItems count="2">
        <s v="ناجح"/>
        <s v="راسب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منى3"/>
    <n v="100"/>
    <n v="99"/>
    <n v="66"/>
    <n v="67"/>
    <n v="95"/>
    <n v="427"/>
    <n v="0.85399999999999998"/>
    <x v="0"/>
  </r>
  <r>
    <s v="أحمد"/>
    <n v="99"/>
    <n v="57"/>
    <n v="67"/>
    <n v="88"/>
    <n v="67"/>
    <n v="378"/>
    <n v="0.75600000000000001"/>
    <x v="0"/>
  </r>
  <r>
    <s v="محمود2"/>
    <n v="34"/>
    <n v="67"/>
    <n v="78"/>
    <n v="99"/>
    <n v="90"/>
    <n v="368"/>
    <n v="0.73599999999999999"/>
    <x v="0"/>
  </r>
  <r>
    <s v="علي "/>
    <n v="56"/>
    <n v="96"/>
    <n v="55"/>
    <n v="66"/>
    <n v="92"/>
    <n v="365"/>
    <n v="0.73"/>
    <x v="0"/>
  </r>
  <r>
    <s v="احمد2"/>
    <n v="88"/>
    <n v="56"/>
    <n v="53"/>
    <n v="66"/>
    <n v="95"/>
    <n v="358"/>
    <n v="0.71599999999999997"/>
    <x v="0"/>
  </r>
  <r>
    <s v="خالد 2"/>
    <n v="57"/>
    <n v="89"/>
    <n v="67"/>
    <n v="77"/>
    <n v="67"/>
    <n v="357"/>
    <n v="0.71399999999999997"/>
    <x v="0"/>
  </r>
  <r>
    <s v="منى"/>
    <n v="56"/>
    <n v="99"/>
    <n v="56"/>
    <n v="89"/>
    <n v="56"/>
    <n v="356"/>
    <n v="0.71199999999999997"/>
    <x v="0"/>
  </r>
  <r>
    <s v="خالد "/>
    <n v="35"/>
    <n v="67"/>
    <n v="77"/>
    <n v="78"/>
    <n v="89"/>
    <n v="346"/>
    <n v="0.69199999999999995"/>
    <x v="0"/>
  </r>
  <r>
    <s v="منى2"/>
    <n v="67"/>
    <n v="67"/>
    <n v="67"/>
    <n v="44"/>
    <n v="91"/>
    <n v="336"/>
    <n v="0.67200000000000004"/>
    <x v="0"/>
  </r>
  <r>
    <s v="محمود"/>
    <n v="45"/>
    <n v="45"/>
    <n v="67"/>
    <n v="89"/>
    <n v="89"/>
    <n v="335"/>
    <n v="0.67"/>
    <x v="0"/>
  </r>
  <r>
    <s v="محمد"/>
    <n v="87"/>
    <n v="78"/>
    <n v="44"/>
    <n v="33"/>
    <n v="93"/>
    <n v="335"/>
    <n v="0.67"/>
    <x v="0"/>
  </r>
  <r>
    <s v="عبدالله"/>
    <n v="67"/>
    <n v="78"/>
    <n v="67"/>
    <n v="55"/>
    <n v="67"/>
    <n v="334"/>
    <n v="0.66800000000000004"/>
    <x v="0"/>
  </r>
  <r>
    <s v="فاطمة"/>
    <n v="34"/>
    <n v="34"/>
    <n v="99"/>
    <n v="67"/>
    <n v="78"/>
    <n v="312"/>
    <n v="0.624"/>
    <x v="0"/>
  </r>
  <r>
    <s v="فاطمة 2"/>
    <n v="33"/>
    <n v="67"/>
    <n v="67"/>
    <n v="77"/>
    <n v="67"/>
    <n v="311"/>
    <n v="0.622"/>
    <x v="0"/>
  </r>
  <r>
    <s v="خالد"/>
    <n v="56"/>
    <n v="48"/>
    <n v="43"/>
    <n v="55"/>
    <n v="94"/>
    <n v="296"/>
    <n v="0.5919999999999999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1FB60-63B0-49AB-B69F-CAA3DEBA1EF0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5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2">
    <i>
      <x/>
    </i>
    <i>
      <x v="1"/>
    </i>
  </rowItems>
  <colItems count="1">
    <i/>
  </colItems>
  <dataFields count="1">
    <dataField name="Count of التقدير " fld="8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F1C4A5-8D39-4BDB-BEEA-A02544E107F6}" name="Table1" displayName="Table1" ref="B2:J17" totalsRowShown="0" headerRowDxfId="10" dataDxfId="9" headerRowCellStyle="Good">
  <autoFilter ref="B2:J17" xr:uid="{42F1C4A5-8D39-4BDB-BEEA-A02544E107F6}"/>
  <sortState xmlns:xlrd2="http://schemas.microsoft.com/office/spreadsheetml/2017/richdata2" ref="B3:J25">
    <sortCondition descending="1" ref="H2:H25"/>
  </sortState>
  <tableColumns count="9">
    <tableColumn id="1" xr3:uid="{A8EECA8F-0798-4A5E-9C6A-80700BA51081}" name="اسم الطالب " dataDxfId="8"/>
    <tableColumn id="2" xr3:uid="{19C82E25-521D-4001-B8C0-2B26862C45F3}" name="اللغة العربية " dataDxfId="7"/>
    <tableColumn id="3" xr3:uid="{C77697B8-EA87-4928-8896-63D88E62B3C6}" name="الرياضيات" dataDxfId="6"/>
    <tableColumn id="4" xr3:uid="{C419B35C-E513-483C-9FC8-17936750AE38}" name="اللغة الإنجليزية " dataDxfId="5"/>
    <tableColumn id="5" xr3:uid="{2814081F-9F12-4C9D-8CDB-961E410B59B8}" name="العلوم" dataDxfId="4"/>
    <tableColumn id="6" xr3:uid="{E6FEABC9-BE4F-4B19-87FE-5C5A9A30A834}" name="الدراسات الاجتماعية" dataDxfId="3"/>
    <tableColumn id="7" xr3:uid="{731B0536-CE4D-4181-AF55-AAAD654CAB99}" name="المجموع " dataDxfId="2">
      <calculatedColumnFormula>+Table1[[#This Row],[العلوم]]+Table1[[#This Row],[الدراسات الاجتماعية]]+Table1[[#This Row],[اللغة الإنجليزية ]]+Table1[[#This Row],[الرياضيات]]+Table1[[#This Row],[اللغة العربية ]]</calculatedColumnFormula>
    </tableColumn>
    <tableColumn id="8" xr3:uid="{5F87B082-3805-4CEF-947C-38063EE0B0E7}" name="النسبة المئؤية" dataDxfId="1">
      <calculatedColumnFormula>Table1[[#This Row],[المجموع ]]/500</calculatedColumnFormula>
    </tableColumn>
    <tableColumn id="9" xr3:uid="{112D9C31-5B6F-479B-B6EC-745B7D5E3093}" name="التقدير " dataDxfId="0">
      <calculatedColumnFormula>IF(Table1[[#This Row],[المجموع ]]&gt;=300,"ناجح","راسب")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77BE-072A-4BD5-A745-CEA209F192D5}">
  <dimension ref="A3:B5"/>
  <sheetViews>
    <sheetView workbookViewId="0">
      <selection activeCell="A3" sqref="A3"/>
    </sheetView>
  </sheetViews>
  <sheetFormatPr defaultRowHeight="13.5" x14ac:dyDescent="0.35"/>
  <cols>
    <col min="1" max="1" width="7.0625" bestFit="1" customWidth="1"/>
    <col min="2" max="2" width="13.125" bestFit="1" customWidth="1"/>
  </cols>
  <sheetData>
    <row r="3" spans="1:2" x14ac:dyDescent="0.35">
      <c r="A3" s="9" t="s">
        <v>26</v>
      </c>
      <c r="B3" t="s">
        <v>29</v>
      </c>
    </row>
    <row r="4" spans="1:2" x14ac:dyDescent="0.35">
      <c r="A4" t="s">
        <v>30</v>
      </c>
      <c r="B4">
        <v>1</v>
      </c>
    </row>
    <row r="5" spans="1:2" x14ac:dyDescent="0.35">
      <c r="A5" t="s">
        <v>28</v>
      </c>
      <c r="B5">
        <v>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1430-8A1A-49CD-8E25-BC529ED9D9F9}">
  <dimension ref="A1:J17"/>
  <sheetViews>
    <sheetView rightToLeft="1" tabSelected="1" zoomScale="84" workbookViewId="0">
      <selection activeCell="N20" sqref="N20"/>
    </sheetView>
  </sheetViews>
  <sheetFormatPr defaultRowHeight="13.5" x14ac:dyDescent="0.35"/>
  <cols>
    <col min="2" max="2" width="12.25" customWidth="1"/>
    <col min="3" max="3" width="13.3125" customWidth="1"/>
    <col min="4" max="4" width="11.3125" customWidth="1"/>
    <col min="5" max="5" width="15.5" customWidth="1"/>
    <col min="7" max="7" width="21.25" customWidth="1"/>
    <col min="8" max="8" width="10.375" bestFit="1" customWidth="1"/>
    <col min="9" max="9" width="13.125" bestFit="1" customWidth="1"/>
    <col min="10" max="10" width="9.125" bestFit="1" customWidth="1"/>
  </cols>
  <sheetData>
    <row r="1" spans="1:10" ht="25.15" customHeight="1" x14ac:dyDescent="0.35">
      <c r="A1" s="4"/>
      <c r="B1" s="1"/>
      <c r="C1" s="10" t="s">
        <v>21</v>
      </c>
      <c r="D1" s="10"/>
      <c r="E1" s="11" t="s">
        <v>22</v>
      </c>
      <c r="F1" s="12"/>
      <c r="G1" s="13"/>
      <c r="H1" s="11" t="s">
        <v>27</v>
      </c>
      <c r="I1" s="12"/>
      <c r="J1" s="13"/>
    </row>
    <row r="2" spans="1:10" ht="27" customHeight="1" x14ac:dyDescent="0.35">
      <c r="A2" s="1" t="s">
        <v>23</v>
      </c>
      <c r="B2" s="2" t="s">
        <v>0</v>
      </c>
      <c r="C2" s="2" t="s">
        <v>1</v>
      </c>
      <c r="D2" s="2" t="s">
        <v>4</v>
      </c>
      <c r="E2" s="2" t="s">
        <v>2</v>
      </c>
      <c r="F2" s="2" t="s">
        <v>3</v>
      </c>
      <c r="G2" s="2" t="s">
        <v>20</v>
      </c>
      <c r="H2" s="6" t="s">
        <v>24</v>
      </c>
      <c r="I2" s="6" t="s">
        <v>25</v>
      </c>
      <c r="J2" s="6" t="s">
        <v>26</v>
      </c>
    </row>
    <row r="3" spans="1:10" x14ac:dyDescent="0.35">
      <c r="A3" s="1">
        <v>1</v>
      </c>
      <c r="B3" s="3" t="s">
        <v>19</v>
      </c>
      <c r="C3" s="3">
        <v>100</v>
      </c>
      <c r="D3" s="3">
        <v>99</v>
      </c>
      <c r="E3" s="3">
        <v>66</v>
      </c>
      <c r="F3" s="3">
        <v>67</v>
      </c>
      <c r="G3" s="3">
        <v>95</v>
      </c>
      <c r="H3" s="5">
        <f>+Table1[[#This Row],[العلوم]]+Table1[[#This Row],[الدراسات الاجتماعية]]+Table1[[#This Row],[اللغة الإنجليزية ]]+Table1[[#This Row],[الرياضيات]]+Table1[[#This Row],[اللغة العربية ]]</f>
        <v>427</v>
      </c>
      <c r="I3" s="7">
        <f>Table1[[#This Row],[المجموع ]]/500</f>
        <v>0.85399999999999998</v>
      </c>
      <c r="J3" s="5" t="str">
        <f>IF(Table1[[#This Row],[المجموع ]]&gt;=300,"ناجح","راسب")</f>
        <v>ناجح</v>
      </c>
    </row>
    <row r="4" spans="1:10" x14ac:dyDescent="0.35">
      <c r="A4" s="1">
        <v>2</v>
      </c>
      <c r="B4" s="3" t="s">
        <v>12</v>
      </c>
      <c r="C4" s="3">
        <v>99</v>
      </c>
      <c r="D4" s="3">
        <v>57</v>
      </c>
      <c r="E4" s="3">
        <v>67</v>
      </c>
      <c r="F4" s="3">
        <v>88</v>
      </c>
      <c r="G4" s="3">
        <v>67</v>
      </c>
      <c r="H4" s="3">
        <f>+Table1[[#This Row],[العلوم]]+Table1[[#This Row],[الدراسات الاجتماعية]]+Table1[[#This Row],[اللغة الإنجليزية ]]+Table1[[#This Row],[الرياضيات]]+Table1[[#This Row],[اللغة العربية ]]</f>
        <v>378</v>
      </c>
      <c r="I4" s="8">
        <f>Table1[[#This Row],[المجموع ]]/500</f>
        <v>0.75600000000000001</v>
      </c>
      <c r="J4" s="3" t="str">
        <f>IF(Table1[[#This Row],[المجموع ]]&gt;=300,"ناجح","راسب")</f>
        <v>ناجح</v>
      </c>
    </row>
    <row r="5" spans="1:10" x14ac:dyDescent="0.35">
      <c r="A5" s="1">
        <v>3</v>
      </c>
      <c r="B5" s="3" t="s">
        <v>14</v>
      </c>
      <c r="C5" s="3">
        <v>34</v>
      </c>
      <c r="D5" s="3">
        <v>67</v>
      </c>
      <c r="E5" s="3">
        <v>78</v>
      </c>
      <c r="F5" s="3">
        <v>99</v>
      </c>
      <c r="G5" s="3">
        <v>90</v>
      </c>
      <c r="H5" s="3">
        <f>+Table1[[#This Row],[العلوم]]+Table1[[#This Row],[الدراسات الاجتماعية]]+Table1[[#This Row],[اللغة الإنجليزية ]]+Table1[[#This Row],[الرياضيات]]+Table1[[#This Row],[اللغة العربية ]]</f>
        <v>368</v>
      </c>
      <c r="I5" s="8">
        <f>Table1[[#This Row],[المجموع ]]/500</f>
        <v>0.73599999999999999</v>
      </c>
      <c r="J5" s="3" t="str">
        <f>IF(Table1[[#This Row],[المجموع ]]&gt;=300,"ناجح","راسب")</f>
        <v>ناجح</v>
      </c>
    </row>
    <row r="6" spans="1:10" x14ac:dyDescent="0.35">
      <c r="A6" s="1">
        <v>4</v>
      </c>
      <c r="B6" s="3" t="s">
        <v>15</v>
      </c>
      <c r="C6" s="3">
        <v>56</v>
      </c>
      <c r="D6" s="3">
        <v>96</v>
      </c>
      <c r="E6" s="3">
        <v>55</v>
      </c>
      <c r="F6" s="3">
        <v>66</v>
      </c>
      <c r="G6" s="3">
        <v>92</v>
      </c>
      <c r="H6" s="3">
        <f>+Table1[[#This Row],[العلوم]]+Table1[[#This Row],[الدراسات الاجتماعية]]+Table1[[#This Row],[اللغة الإنجليزية ]]+Table1[[#This Row],[الرياضيات]]+Table1[[#This Row],[اللغة العربية ]]</f>
        <v>365</v>
      </c>
      <c r="I6" s="8">
        <f>Table1[[#This Row],[المجموع ]]/500</f>
        <v>0.73</v>
      </c>
      <c r="J6" s="3" t="str">
        <f>IF(Table1[[#This Row],[المجموع ]]&gt;=300,"ناجح","راسب")</f>
        <v>ناجح</v>
      </c>
    </row>
    <row r="7" spans="1:10" x14ac:dyDescent="0.35">
      <c r="A7" s="1">
        <v>5</v>
      </c>
      <c r="B7" s="3" t="s">
        <v>18</v>
      </c>
      <c r="C7" s="3">
        <v>88</v>
      </c>
      <c r="D7" s="3">
        <v>56</v>
      </c>
      <c r="E7" s="3">
        <v>53</v>
      </c>
      <c r="F7" s="3">
        <v>66</v>
      </c>
      <c r="G7" s="3">
        <v>95</v>
      </c>
      <c r="H7" s="3">
        <f>+Table1[[#This Row],[العلوم]]+Table1[[#This Row],[الدراسات الاجتماعية]]+Table1[[#This Row],[اللغة الإنجليزية ]]+Table1[[#This Row],[الرياضيات]]+Table1[[#This Row],[اللغة العربية ]]</f>
        <v>358</v>
      </c>
      <c r="I7" s="8">
        <f>Table1[[#This Row],[المجموع ]]/500</f>
        <v>0.71599999999999997</v>
      </c>
      <c r="J7" s="3" t="str">
        <f>IF(Table1[[#This Row],[المجموع ]]&gt;=300,"ناجح","راسب")</f>
        <v>ناجح</v>
      </c>
    </row>
    <row r="8" spans="1:10" x14ac:dyDescent="0.35">
      <c r="A8" s="1">
        <v>6</v>
      </c>
      <c r="B8" s="3" t="s">
        <v>11</v>
      </c>
      <c r="C8" s="3">
        <v>57</v>
      </c>
      <c r="D8" s="3">
        <v>89</v>
      </c>
      <c r="E8" s="3">
        <v>67</v>
      </c>
      <c r="F8" s="3">
        <v>77</v>
      </c>
      <c r="G8" s="3">
        <v>67</v>
      </c>
      <c r="H8" s="3">
        <f>+Table1[[#This Row],[العلوم]]+Table1[[#This Row],[الدراسات الاجتماعية]]+Table1[[#This Row],[اللغة الإنجليزية ]]+Table1[[#This Row],[الرياضيات]]+Table1[[#This Row],[اللغة العربية ]]</f>
        <v>357</v>
      </c>
      <c r="I8" s="8">
        <f>Table1[[#This Row],[المجموع ]]/500</f>
        <v>0.71399999999999997</v>
      </c>
      <c r="J8" s="3" t="str">
        <f>IF(Table1[[#This Row],[المجموع ]]&gt;=300,"ناجح","راسب")</f>
        <v>ناجح</v>
      </c>
    </row>
    <row r="9" spans="1:10" x14ac:dyDescent="0.35">
      <c r="A9" s="1">
        <v>7</v>
      </c>
      <c r="B9" s="3" t="s">
        <v>6</v>
      </c>
      <c r="C9" s="3">
        <v>56</v>
      </c>
      <c r="D9" s="3">
        <v>99</v>
      </c>
      <c r="E9" s="3">
        <v>56</v>
      </c>
      <c r="F9" s="3">
        <v>89</v>
      </c>
      <c r="G9" s="3">
        <v>56</v>
      </c>
      <c r="H9" s="3">
        <f>+Table1[[#This Row],[العلوم]]+Table1[[#This Row],[الدراسات الاجتماعية]]+Table1[[#This Row],[اللغة الإنجليزية ]]+Table1[[#This Row],[الرياضيات]]+Table1[[#This Row],[اللغة العربية ]]</f>
        <v>356</v>
      </c>
      <c r="I9" s="8">
        <f>Table1[[#This Row],[المجموع ]]/500</f>
        <v>0.71199999999999997</v>
      </c>
      <c r="J9" s="3" t="str">
        <f>IF(Table1[[#This Row],[المجموع ]]&gt;=300,"ناجح","راسب")</f>
        <v>ناجح</v>
      </c>
    </row>
    <row r="10" spans="1:10" x14ac:dyDescent="0.35">
      <c r="A10" s="1">
        <v>8</v>
      </c>
      <c r="B10" s="3" t="s">
        <v>5</v>
      </c>
      <c r="C10" s="3">
        <v>35</v>
      </c>
      <c r="D10" s="3">
        <v>67</v>
      </c>
      <c r="E10" s="3">
        <v>77</v>
      </c>
      <c r="F10" s="3">
        <v>78</v>
      </c>
      <c r="G10" s="3">
        <v>89</v>
      </c>
      <c r="H10" s="3">
        <f>+Table1[[#This Row],[العلوم]]+Table1[[#This Row],[الدراسات الاجتماعية]]+Table1[[#This Row],[اللغة الإنجليزية ]]+Table1[[#This Row],[الرياضيات]]+Table1[[#This Row],[اللغة العربية ]]</f>
        <v>346</v>
      </c>
      <c r="I10" s="8">
        <f>Table1[[#This Row],[المجموع ]]/500</f>
        <v>0.69199999999999995</v>
      </c>
      <c r="J10" s="3" t="str">
        <f>IF(Table1[[#This Row],[المجموع ]]&gt;=300,"ناجح","راسب")</f>
        <v>ناجح</v>
      </c>
    </row>
    <row r="11" spans="1:10" x14ac:dyDescent="0.35">
      <c r="A11" s="1">
        <v>9</v>
      </c>
      <c r="B11" s="3" t="s">
        <v>13</v>
      </c>
      <c r="C11" s="3">
        <v>67</v>
      </c>
      <c r="D11" s="3">
        <v>67</v>
      </c>
      <c r="E11" s="3">
        <v>67</v>
      </c>
      <c r="F11" s="3">
        <v>44</v>
      </c>
      <c r="G11" s="3">
        <v>91</v>
      </c>
      <c r="H11" s="3">
        <f>+Table1[[#This Row],[العلوم]]+Table1[[#This Row],[الدراسات الاجتماعية]]+Table1[[#This Row],[اللغة الإنجليزية ]]+Table1[[#This Row],[الرياضيات]]+Table1[[#This Row],[اللغة العربية ]]</f>
        <v>336</v>
      </c>
      <c r="I11" s="8">
        <f>Table1[[#This Row],[المجموع ]]/500</f>
        <v>0.67200000000000004</v>
      </c>
      <c r="J11" s="3" t="str">
        <f>IF(Table1[[#This Row],[المجموع ]]&gt;=300,"ناجح","راسب")</f>
        <v>ناجح</v>
      </c>
    </row>
    <row r="12" spans="1:10" x14ac:dyDescent="0.35">
      <c r="A12" s="1">
        <v>10</v>
      </c>
      <c r="B12" s="3" t="s">
        <v>8</v>
      </c>
      <c r="C12" s="3">
        <v>45</v>
      </c>
      <c r="D12" s="3">
        <v>45</v>
      </c>
      <c r="E12" s="3">
        <v>67</v>
      </c>
      <c r="F12" s="3">
        <v>89</v>
      </c>
      <c r="G12" s="3">
        <v>89</v>
      </c>
      <c r="H12" s="3">
        <f>+Table1[[#This Row],[العلوم]]+Table1[[#This Row],[الدراسات الاجتماعية]]+Table1[[#This Row],[اللغة الإنجليزية ]]+Table1[[#This Row],[الرياضيات]]+Table1[[#This Row],[اللغة العربية ]]</f>
        <v>335</v>
      </c>
      <c r="I12" s="8">
        <f>Table1[[#This Row],[المجموع ]]/500</f>
        <v>0.67</v>
      </c>
      <c r="J12" s="3" t="str">
        <f>IF(Table1[[#This Row],[المجموع ]]&gt;=300,"ناجح","راسب")</f>
        <v>ناجح</v>
      </c>
    </row>
    <row r="13" spans="1:10" x14ac:dyDescent="0.35">
      <c r="A13" s="1">
        <v>11</v>
      </c>
      <c r="B13" s="3" t="s">
        <v>16</v>
      </c>
      <c r="C13" s="3">
        <v>87</v>
      </c>
      <c r="D13" s="3">
        <v>78</v>
      </c>
      <c r="E13" s="3">
        <v>44</v>
      </c>
      <c r="F13" s="3">
        <v>33</v>
      </c>
      <c r="G13" s="3">
        <v>93</v>
      </c>
      <c r="H13" s="3">
        <f>+Table1[[#This Row],[العلوم]]+Table1[[#This Row],[الدراسات الاجتماعية]]+Table1[[#This Row],[اللغة الإنجليزية ]]+Table1[[#This Row],[الرياضيات]]+Table1[[#This Row],[اللغة العربية ]]</f>
        <v>335</v>
      </c>
      <c r="I13" s="8">
        <f>Table1[[#This Row],[المجموع ]]/500</f>
        <v>0.67</v>
      </c>
      <c r="J13" s="3" t="str">
        <f>IF(Table1[[#This Row],[المجموع ]]&gt;=300,"ناجح","راسب")</f>
        <v>ناجح</v>
      </c>
    </row>
    <row r="14" spans="1:10" x14ac:dyDescent="0.35">
      <c r="A14" s="1">
        <v>12</v>
      </c>
      <c r="B14" s="3" t="s">
        <v>10</v>
      </c>
      <c r="C14" s="3">
        <v>67</v>
      </c>
      <c r="D14" s="3">
        <v>78</v>
      </c>
      <c r="E14" s="3">
        <v>67</v>
      </c>
      <c r="F14" s="3">
        <v>55</v>
      </c>
      <c r="G14" s="3">
        <v>67</v>
      </c>
      <c r="H14" s="3">
        <f>+Table1[[#This Row],[العلوم]]+Table1[[#This Row],[الدراسات الاجتماعية]]+Table1[[#This Row],[اللغة الإنجليزية ]]+Table1[[#This Row],[الرياضيات]]+Table1[[#This Row],[اللغة العربية ]]</f>
        <v>334</v>
      </c>
      <c r="I14" s="8">
        <f>Table1[[#This Row],[المجموع ]]/500</f>
        <v>0.66800000000000004</v>
      </c>
      <c r="J14" s="3" t="str">
        <f>IF(Table1[[#This Row],[المجموع ]]&gt;=300,"ناجح","راسب")</f>
        <v>ناجح</v>
      </c>
    </row>
    <row r="15" spans="1:10" x14ac:dyDescent="0.35">
      <c r="A15" s="1">
        <v>13</v>
      </c>
      <c r="B15" s="3" t="s">
        <v>7</v>
      </c>
      <c r="C15" s="3">
        <v>34</v>
      </c>
      <c r="D15" s="3">
        <v>34</v>
      </c>
      <c r="E15" s="3">
        <v>99</v>
      </c>
      <c r="F15" s="3">
        <v>67</v>
      </c>
      <c r="G15" s="3">
        <v>78</v>
      </c>
      <c r="H15" s="3">
        <f>+Table1[[#This Row],[العلوم]]+Table1[[#This Row],[الدراسات الاجتماعية]]+Table1[[#This Row],[اللغة الإنجليزية ]]+Table1[[#This Row],[الرياضيات]]+Table1[[#This Row],[اللغة العربية ]]</f>
        <v>312</v>
      </c>
      <c r="I15" s="8">
        <f>Table1[[#This Row],[المجموع ]]/500</f>
        <v>0.624</v>
      </c>
      <c r="J15" s="3" t="str">
        <f>IF(Table1[[#This Row],[المجموع ]]&gt;=300,"ناجح","راسب")</f>
        <v>ناجح</v>
      </c>
    </row>
    <row r="16" spans="1:10" x14ac:dyDescent="0.35">
      <c r="A16" s="1">
        <v>14</v>
      </c>
      <c r="B16" s="3" t="s">
        <v>9</v>
      </c>
      <c r="C16" s="3">
        <v>33</v>
      </c>
      <c r="D16" s="3">
        <v>67</v>
      </c>
      <c r="E16" s="3">
        <v>67</v>
      </c>
      <c r="F16" s="3">
        <v>77</v>
      </c>
      <c r="G16" s="3">
        <v>67</v>
      </c>
      <c r="H16" s="3">
        <f>+Table1[[#This Row],[العلوم]]+Table1[[#This Row],[الدراسات الاجتماعية]]+Table1[[#This Row],[اللغة الإنجليزية ]]+Table1[[#This Row],[الرياضيات]]+Table1[[#This Row],[اللغة العربية ]]</f>
        <v>311</v>
      </c>
      <c r="I16" s="8">
        <f>Table1[[#This Row],[المجموع ]]/500</f>
        <v>0.622</v>
      </c>
      <c r="J16" s="3" t="str">
        <f>IF(Table1[[#This Row],[المجموع ]]&gt;=300,"ناجح","راسب")</f>
        <v>ناجح</v>
      </c>
    </row>
    <row r="17" spans="1:10" x14ac:dyDescent="0.35">
      <c r="A17" s="1">
        <v>15</v>
      </c>
      <c r="B17" s="3" t="s">
        <v>17</v>
      </c>
      <c r="C17" s="3">
        <v>56</v>
      </c>
      <c r="D17" s="3">
        <v>48</v>
      </c>
      <c r="E17" s="3">
        <v>43</v>
      </c>
      <c r="F17" s="3">
        <v>55</v>
      </c>
      <c r="G17" s="3">
        <v>94</v>
      </c>
      <c r="H17" s="3">
        <f>+Table1[[#This Row],[العلوم]]+Table1[[#This Row],[الدراسات الاجتماعية]]+Table1[[#This Row],[اللغة الإنجليزية ]]+Table1[[#This Row],[الرياضيات]]+Table1[[#This Row],[اللغة العربية ]]</f>
        <v>296</v>
      </c>
      <c r="I17" s="8">
        <f>Table1[[#This Row],[المجموع ]]/500</f>
        <v>0.59199999999999997</v>
      </c>
      <c r="J17" s="3" t="str">
        <f>IF(Table1[[#This Row],[المجموع ]]&gt;=300,"ناجح","راسب")</f>
        <v>راسب</v>
      </c>
    </row>
  </sheetData>
  <mergeCells count="3">
    <mergeCell ref="C1:D1"/>
    <mergeCell ref="E1:G1"/>
    <mergeCell ref="H1:J1"/>
  </mergeCell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نرجس مؤيد الناصر</dc:creator>
  <cp:lastModifiedBy>نرجس مؤيد الناصر</cp:lastModifiedBy>
  <cp:lastPrinted>2026-03-31T23:53:08Z</cp:lastPrinted>
  <dcterms:created xsi:type="dcterms:W3CDTF">2026-03-31T21:58:58Z</dcterms:created>
  <dcterms:modified xsi:type="dcterms:W3CDTF">2026-04-05T03:10:14Z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2026-04-05T03:09:36Z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fa02247e-444b-497c-ac11-e79b36564fde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